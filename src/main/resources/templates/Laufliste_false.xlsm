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projects\spring_samichlaus\spring_samichlaus\api\src\main\resources\templates\"/>
    </mc:Choice>
  </mc:AlternateContent>
  <xr:revisionPtr revIDLastSave="0" documentId="13_ncr:1_{B20CF792-D899-4FAC-A058-AB7232EA52B6}" xr6:coauthVersionLast="47" xr6:coauthVersionMax="47" xr10:uidLastSave="{00000000-0000-0000-0000-000000000000}"/>
  <bookViews>
    <workbookView xWindow="4260" yWindow="2370" windowWidth="28800" windowHeight="15435" activeTab="4" xr2:uid="{00000000-000D-0000-FFFF-FFFF00000000}"/>
  </bookViews>
  <sheets>
    <sheet name="Eingabe" sheetId="6" r:id="rId1"/>
    <sheet name="Besuchszeiten" sheetId="3" r:id="rId2"/>
    <sheet name="Material" sheetId="2" r:id="rId3"/>
    <sheet name="Startzeiten" sheetId="4" r:id="rId4"/>
    <sheet name="Vorlage" sheetId="5" r:id="rId5"/>
  </sheets>
  <functionGroups builtInGroupCount="19"/>
  <definedNames>
    <definedName name="AnzahlGruppenR1">Eingabe!$D$5</definedName>
    <definedName name="AnzahlGruppenR2">Eingabe!$D$6</definedName>
    <definedName name="AnzahlGruppenR3">Eingabe!$D$7</definedName>
    <definedName name="DatumRayon1">Eingabe!$C$5</definedName>
    <definedName name="DatumRayon2">Eingabe!$C$6</definedName>
    <definedName name="DatumRayon3">Eingabe!$C$7</definedName>
    <definedName name="_xlnm.Print_Area" localSheetId="4">Vorlage!$A$1:$G$23</definedName>
    <definedName name="_xlnm.Print_Titles" localSheetId="1">Besuchszeiten!$1:$1</definedName>
    <definedName name="Jahr">Eingabe!$C$2</definedName>
    <definedName name="NameRayon1">Eingabe!$B$5</definedName>
    <definedName name="NameRayon2">Eingabe!$B$6</definedName>
    <definedName name="NameRayon3">Eingabe!$B$7</definedName>
    <definedName name="RI_Sack">Material!$C$3</definedName>
    <definedName name="RI_Wegge">Material!$E$3</definedName>
    <definedName name="RI_Zopf">Material!$F$3</definedName>
    <definedName name="RII_Sack">Material!$C$4</definedName>
    <definedName name="RII_Wegge">Material!$E$4</definedName>
    <definedName name="RII_Zopf">Material!$F$4</definedName>
    <definedName name="RIII_Sack">Material!$C$5</definedName>
    <definedName name="RIII_Wegge">Material!$E$5</definedName>
    <definedName name="RIII_Zopf">Material!$F$5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" i="5" l="1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D5" i="2"/>
  <c r="D4" i="2"/>
  <c r="D3" i="2"/>
  <c r="G8" i="5"/>
  <c r="F8" i="5"/>
  <c r="E8" i="5"/>
  <c r="A8" i="5"/>
  <c r="F6" i="2" l="1"/>
  <c r="E6" i="2"/>
  <c r="D6" i="2"/>
  <c r="C6" i="2"/>
</calcChain>
</file>

<file path=xl/sharedStrings.xml><?xml version="1.0" encoding="utf-8"?>
<sst xmlns="http://schemas.openxmlformats.org/spreadsheetml/2006/main" count="68" uniqueCount="52">
  <si>
    <t>Päckli</t>
  </si>
  <si>
    <t>Wegge</t>
  </si>
  <si>
    <t>Zopf</t>
  </si>
  <si>
    <t>Datum</t>
  </si>
  <si>
    <t>Reserven</t>
  </si>
  <si>
    <t>Rayon I</t>
  </si>
  <si>
    <t>Rayon II</t>
  </si>
  <si>
    <t>Rayon III</t>
  </si>
  <si>
    <t>Total</t>
  </si>
  <si>
    <t>Name</t>
  </si>
  <si>
    <t>Zeit</t>
  </si>
  <si>
    <t>Besuchstag</t>
  </si>
  <si>
    <t>Gruppe</t>
  </si>
  <si>
    <t>Rayon</t>
  </si>
  <si>
    <t>Nr.</t>
  </si>
  <si>
    <t>Laufen / Fahren</t>
  </si>
  <si>
    <t>Samichlaus</t>
  </si>
  <si>
    <t>Ruprecht</t>
  </si>
  <si>
    <t>Schmutzli</t>
  </si>
  <si>
    <t>Rayon:</t>
  </si>
  <si>
    <t>Gruppe:</t>
  </si>
  <si>
    <t>Samichlaus:</t>
  </si>
  <si>
    <t>Ruprecht:</t>
  </si>
  <si>
    <t>Schmutzli:</t>
  </si>
  <si>
    <t>Engel:</t>
  </si>
  <si>
    <t xml:space="preserve"> </t>
  </si>
  <si>
    <t>Schmink
Zeit</t>
  </si>
  <si>
    <t>Start
Zeit</t>
  </si>
  <si>
    <t xml:space="preserve">Päckli
</t>
  </si>
  <si>
    <t>Adresse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</si>
  <si>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</si>
  <si>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</si>
  <si>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</si>
  <si>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</si>
  <si>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</si>
  <si>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</si>
  <si>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</si>
  <si>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</si>
  <si>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</si>
  <si>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</si>
  <si>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</si>
  <si>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</si>
  <si>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</si>
  <si>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</si>
  <si>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 xml:space="preserve">Loppersaal Foyer: </t>
  </si>
  <si>
    <t xml:space="preserve"> 041 630 36 35</t>
  </si>
  <si>
    <t>Sonnenberg</t>
  </si>
  <si>
    <t>Schattenberg</t>
  </si>
  <si>
    <t>unterhalb Bahnlinie</t>
  </si>
  <si>
    <t>Anz. Gruppen</t>
  </si>
  <si>
    <t>Jahr</t>
  </si>
  <si>
    <t>Dauer mit Laufzeit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</si>
</sst>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"/>
    <numFmt numFmtId="165" formatCode="&quot;Donnerstag,&quot;\ dd/mm/yy"/>
    <numFmt numFmtId="166" formatCode="&quot;Samstag,&quot;\ dd/mm/yy"/>
    <numFmt numFmtId="167" formatCode="&quot;Freitag,&quot;\ dd/mm/yy"/>
    <numFmt numFmtId="168" formatCode="0."/>
    <numFmt numFmtId="169" formatCode="0\+\2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MS Sans Serif"/>
      <family val="2"/>
    </font>
    <font>
      <sz val="10"/>
      <name val="MS Sans Serif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b/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gray06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3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13">
    <xf numFmtId="0" fontId="0" fillId="0" borderId="0" xfId="0"/>
    <xf numFmtId="0" fontId="2" fillId="0" borderId="0" xfId="1" applyFont="1"/>
    <xf numFmtId="0" fontId="3" fillId="2" borderId="3" xfId="1" applyFont="1" applyFill="1" applyBorder="1" applyAlignment="1">
      <alignment horizontal="centerContinuous" vertical="center"/>
    </xf>
    <xf numFmtId="0" fontId="3" fillId="2" borderId="4" xfId="1" applyFont="1" applyFill="1" applyBorder="1" applyAlignment="1">
      <alignment horizontal="center" vertical="center"/>
    </xf>
    <xf numFmtId="0" fontId="2" fillId="0" borderId="5" xfId="1" applyFont="1" applyBorder="1" applyAlignment="1">
      <alignment horizontal="left"/>
    </xf>
    <xf numFmtId="0" fontId="3" fillId="0" borderId="6" xfId="1" applyFont="1" applyBorder="1" applyAlignment="1">
      <alignment horizont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Continuous" vertical="center"/>
    </xf>
    <xf numFmtId="0" fontId="3" fillId="2" borderId="10" xfId="1" applyFont="1" applyFill="1" applyBorder="1" applyAlignment="1">
      <alignment horizontal="center" vertical="center"/>
    </xf>
    <xf numFmtId="0" fontId="3" fillId="0" borderId="11" xfId="1" applyFont="1" applyBorder="1" applyAlignment="1">
      <alignment vertical="center"/>
    </xf>
    <xf numFmtId="164" fontId="3" fillId="0" borderId="12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3" fillId="0" borderId="16" xfId="1" applyFont="1" applyBorder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3" fillId="0" borderId="19" xfId="1" applyFont="1" applyBorder="1" applyAlignment="1">
      <alignment vertical="center"/>
    </xf>
    <xf numFmtId="164" fontId="3" fillId="0" borderId="8" xfId="1" applyNumberFormat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/>
    </xf>
    <xf numFmtId="0" fontId="3" fillId="0" borderId="22" xfId="1" applyFont="1" applyBorder="1" applyAlignment="1">
      <alignment horizontal="center" vertical="center"/>
    </xf>
    <xf numFmtId="0" fontId="3" fillId="0" borderId="23" xfId="1" applyFont="1" applyBorder="1" applyAlignment="1">
      <alignment horizontal="center" vertical="center"/>
    </xf>
    <xf numFmtId="0" fontId="3" fillId="0" borderId="24" xfId="1" applyFont="1" applyBorder="1" applyAlignment="1">
      <alignment horizontal="center" vertical="center"/>
    </xf>
    <xf numFmtId="0" fontId="2" fillId="0" borderId="0" xfId="1" applyFont="1" applyAlignment="1">
      <alignment horizontal="right"/>
    </xf>
    <xf numFmtId="0" fontId="3" fillId="0" borderId="0" xfId="1" applyFont="1" applyAlignment="1">
      <alignment vertical="top"/>
    </xf>
    <xf numFmtId="165" fontId="3" fillId="0" borderId="0" xfId="1" applyNumberFormat="1" applyFont="1" applyAlignment="1">
      <alignment vertical="top"/>
    </xf>
    <xf numFmtId="0" fontId="2" fillId="0" borderId="0" xfId="1" applyFont="1" applyAlignment="1">
      <alignment vertical="top"/>
    </xf>
    <xf numFmtId="166" fontId="2" fillId="0" borderId="0" xfId="1" applyNumberFormat="1" applyFont="1" applyAlignment="1">
      <alignment vertical="top"/>
    </xf>
    <xf numFmtId="167" fontId="2" fillId="0" borderId="0" xfId="1" applyNumberFormat="1" applyFont="1" applyAlignment="1">
      <alignment vertical="top"/>
    </xf>
    <xf numFmtId="0" fontId="5" fillId="0" borderId="0" xfId="2" applyFont="1" applyAlignment="1" applyProtection="1">
      <alignment vertical="top"/>
    </xf>
    <xf numFmtId="165" fontId="2" fillId="0" borderId="0" xfId="1" applyNumberFormat="1" applyFont="1" applyAlignment="1">
      <alignment vertical="top"/>
    </xf>
    <xf numFmtId="14" fontId="6" fillId="0" borderId="0" xfId="1" applyNumberFormat="1" applyFont="1" applyAlignment="1">
      <alignment vertical="top"/>
    </xf>
    <xf numFmtId="0" fontId="6" fillId="0" borderId="0" xfId="1" applyFont="1" applyAlignment="1">
      <alignment vertical="top"/>
    </xf>
    <xf numFmtId="14" fontId="7" fillId="0" borderId="0" xfId="1" applyNumberFormat="1" applyFont="1" applyAlignment="1">
      <alignment vertical="top"/>
    </xf>
    <xf numFmtId="0" fontId="7" fillId="0" borderId="0" xfId="1" applyFont="1" applyAlignment="1">
      <alignment vertical="top"/>
    </xf>
    <xf numFmtId="168" fontId="8" fillId="3" borderId="25" xfId="1" applyNumberFormat="1" applyFont="1" applyFill="1" applyBorder="1" applyAlignment="1">
      <alignment horizontal="left" vertical="center"/>
    </xf>
    <xf numFmtId="0" fontId="8" fillId="3" borderId="26" xfId="1" applyFont="1" applyFill="1" applyBorder="1" applyAlignment="1">
      <alignment horizontal="right" vertical="center"/>
    </xf>
    <xf numFmtId="0" fontId="8" fillId="3" borderId="0" xfId="1" applyFont="1" applyFill="1" applyAlignment="1">
      <alignment horizontal="right" vertical="center"/>
    </xf>
    <xf numFmtId="0" fontId="8" fillId="3" borderId="27" xfId="1" applyFont="1" applyFill="1" applyBorder="1" applyAlignment="1">
      <alignment horizontal="right" vertical="center"/>
    </xf>
    <xf numFmtId="0" fontId="8" fillId="3" borderId="27" xfId="1" applyFont="1" applyFill="1" applyBorder="1" applyAlignment="1">
      <alignment horizontal="center" vertical="center"/>
    </xf>
    <xf numFmtId="20" fontId="8" fillId="0" borderId="0" xfId="1" applyNumberFormat="1" applyFont="1" applyAlignment="1">
      <alignment vertical="center"/>
    </xf>
    <xf numFmtId="0" fontId="8" fillId="0" borderId="0" xfId="1" applyFont="1" applyAlignment="1">
      <alignment vertical="center"/>
    </xf>
    <xf numFmtId="168" fontId="8" fillId="0" borderId="21" xfId="1" applyNumberFormat="1" applyFont="1" applyBorder="1" applyAlignment="1">
      <alignment horizontal="left" vertical="center"/>
    </xf>
    <xf numFmtId="0" fontId="8" fillId="0" borderId="27" xfId="1" applyFont="1" applyBorder="1" applyAlignment="1">
      <alignment vertical="center"/>
    </xf>
    <xf numFmtId="20" fontId="9" fillId="0" borderId="0" xfId="1" applyNumberFormat="1" applyFont="1" applyAlignment="1">
      <alignment vertical="center"/>
    </xf>
    <xf numFmtId="0" fontId="9" fillId="0" borderId="0" xfId="1" applyFont="1" applyAlignment="1">
      <alignment vertical="center"/>
    </xf>
    <xf numFmtId="168" fontId="8" fillId="0" borderId="11" xfId="1" applyNumberFormat="1" applyFont="1" applyBorder="1" applyAlignment="1">
      <alignment horizontal="left" vertical="center"/>
    </xf>
    <xf numFmtId="0" fontId="8" fillId="0" borderId="29" xfId="1" applyFont="1" applyBorder="1" applyAlignment="1">
      <alignment horizontal="centerContinuous" vertical="center"/>
    </xf>
    <xf numFmtId="168" fontId="8" fillId="0" borderId="16" xfId="1" applyNumberFormat="1" applyFont="1" applyBorder="1" applyAlignment="1">
      <alignment horizontal="left" vertical="center"/>
    </xf>
    <xf numFmtId="0" fontId="8" fillId="0" borderId="0" xfId="1" applyFont="1" applyAlignment="1">
      <alignment horizontal="centerContinuous" vertical="center"/>
    </xf>
    <xf numFmtId="20" fontId="7" fillId="0" borderId="0" xfId="1" applyNumberFormat="1" applyFont="1" applyAlignment="1">
      <alignment vertical="center" wrapText="1"/>
    </xf>
    <xf numFmtId="168" fontId="10" fillId="0" borderId="33" xfId="1" applyNumberFormat="1" applyFont="1" applyBorder="1" applyAlignment="1">
      <alignment horizontal="center" vertical="center" wrapText="1"/>
    </xf>
    <xf numFmtId="0" fontId="8" fillId="0" borderId="33" xfId="1" applyFont="1" applyBorder="1" applyAlignment="1">
      <alignment horizontal="center" vertical="center" wrapText="1"/>
    </xf>
    <xf numFmtId="0" fontId="3" fillId="2" borderId="33" xfId="1" applyFont="1" applyFill="1" applyBorder="1" applyAlignment="1">
      <alignment horizontal="center" vertical="center"/>
    </xf>
    <xf numFmtId="20" fontId="11" fillId="0" borderId="34" xfId="1" applyNumberFormat="1" applyFont="1" applyBorder="1" applyAlignment="1">
      <alignment horizontal="center" vertical="center"/>
    </xf>
    <xf numFmtId="20" fontId="11" fillId="0" borderId="34" xfId="1" applyNumberFormat="1" applyFont="1" applyBorder="1" applyAlignment="1">
      <alignment horizontal="center" vertical="center" wrapText="1"/>
    </xf>
    <xf numFmtId="0" fontId="11" fillId="0" borderId="34" xfId="1" applyFont="1" applyBorder="1" applyAlignment="1">
      <alignment horizontal="center" vertical="center"/>
    </xf>
    <xf numFmtId="169" fontId="11" fillId="2" borderId="34" xfId="1" applyNumberFormat="1" applyFont="1" applyFill="1" applyBorder="1" applyAlignment="1">
      <alignment horizontal="center" vertical="center"/>
    </xf>
    <xf numFmtId="0" fontId="11" fillId="2" borderId="34" xfId="1" applyFont="1" applyFill="1" applyBorder="1" applyAlignment="1">
      <alignment horizontal="center" vertical="center"/>
    </xf>
    <xf numFmtId="20" fontId="9" fillId="0" borderId="0" xfId="1" applyNumberFormat="1" applyFont="1" applyAlignment="1">
      <alignment vertical="center" wrapText="1"/>
    </xf>
    <xf numFmtId="168" fontId="8" fillId="0" borderId="35" xfId="1" applyNumberFormat="1" applyFont="1" applyBorder="1" applyAlignment="1">
      <alignment horizontal="center" vertical="center" wrapText="1"/>
    </xf>
    <xf numFmtId="20" fontId="9" fillId="0" borderId="35" xfId="1" applyNumberFormat="1" applyFont="1" applyBorder="1" applyAlignment="1">
      <alignment horizontal="center" vertical="center" wrapText="1"/>
    </xf>
    <xf numFmtId="0" fontId="9" fillId="0" borderId="35" xfId="1" applyFont="1" applyBorder="1" applyAlignment="1">
      <alignment horizontal="left" vertical="center" wrapText="1" indent="1"/>
    </xf>
    <xf numFmtId="0" fontId="9" fillId="0" borderId="35" xfId="1" applyFont="1" applyBorder="1" applyAlignment="1">
      <alignment horizontal="center" vertical="center" wrapText="1"/>
    </xf>
    <xf numFmtId="0" fontId="9" fillId="0" borderId="36" xfId="1" applyFont="1" applyBorder="1" applyAlignment="1">
      <alignment horizontal="center" vertical="center" wrapText="1"/>
    </xf>
    <xf numFmtId="0" fontId="9" fillId="0" borderId="0" xfId="1" applyFont="1" applyAlignment="1">
      <alignment vertical="center" wrapText="1"/>
    </xf>
    <xf numFmtId="168" fontId="8" fillId="0" borderId="37" xfId="1" applyNumberFormat="1" applyFont="1" applyBorder="1" applyAlignment="1">
      <alignment horizontal="center" vertical="center" wrapText="1"/>
    </xf>
    <xf numFmtId="20" fontId="9" fillId="0" borderId="37" xfId="1" applyNumberFormat="1" applyFont="1" applyBorder="1" applyAlignment="1">
      <alignment horizontal="center" vertical="center" wrapText="1"/>
    </xf>
    <xf numFmtId="0" fontId="9" fillId="0" borderId="37" xfId="1" applyFont="1" applyBorder="1" applyAlignment="1">
      <alignment horizontal="left" vertical="center" wrapText="1" indent="1"/>
    </xf>
    <xf numFmtId="0" fontId="9" fillId="0" borderId="37" xfId="1" applyFont="1" applyBorder="1" applyAlignment="1">
      <alignment horizontal="center" vertical="center" wrapText="1"/>
    </xf>
    <xf numFmtId="0" fontId="9" fillId="0" borderId="38" xfId="1" applyFont="1" applyBorder="1" applyAlignment="1">
      <alignment horizontal="center" vertical="center" wrapText="1"/>
    </xf>
    <xf numFmtId="168" fontId="8" fillId="0" borderId="0" xfId="1" applyNumberFormat="1" applyFont="1" applyAlignment="1">
      <alignment horizontal="center"/>
    </xf>
    <xf numFmtId="0" fontId="9" fillId="0" borderId="0" xfId="1" applyFont="1"/>
    <xf numFmtId="0" fontId="9" fillId="0" borderId="0" xfId="1" applyFont="1" applyAlignment="1">
      <alignment horizontal="right"/>
    </xf>
    <xf numFmtId="20" fontId="9" fillId="0" borderId="0" xfId="1" applyNumberFormat="1" applyFont="1"/>
    <xf numFmtId="20" fontId="3" fillId="0" borderId="0" xfId="1" applyNumberFormat="1" applyFont="1" applyAlignment="1">
      <alignment vertical="top"/>
    </xf>
    <xf numFmtId="20" fontId="2" fillId="0" borderId="0" xfId="1" applyNumberFormat="1" applyFont="1" applyAlignment="1">
      <alignment vertical="top"/>
    </xf>
    <xf numFmtId="0" fontId="8" fillId="4" borderId="0" xfId="1" applyFont="1" applyFill="1"/>
    <xf numFmtId="0" fontId="9" fillId="4" borderId="16" xfId="1" applyFont="1" applyFill="1" applyBorder="1"/>
    <xf numFmtId="0" fontId="9" fillId="5" borderId="0" xfId="1" applyFont="1" applyFill="1" applyAlignment="1">
      <alignment horizontal="center"/>
    </xf>
    <xf numFmtId="14" fontId="9" fillId="5" borderId="31" xfId="1" applyNumberFormat="1" applyFont="1" applyFill="1" applyBorder="1" applyAlignment="1">
      <alignment horizontal="center"/>
    </xf>
    <xf numFmtId="0" fontId="9" fillId="5" borderId="27" xfId="1" applyFont="1" applyFill="1" applyBorder="1" applyAlignment="1">
      <alignment horizontal="center"/>
    </xf>
    <xf numFmtId="14" fontId="9" fillId="5" borderId="28" xfId="1" applyNumberFormat="1" applyFont="1" applyFill="1" applyBorder="1" applyAlignment="1">
      <alignment horizontal="center"/>
    </xf>
    <xf numFmtId="0" fontId="9" fillId="5" borderId="32" xfId="1" applyFont="1" applyFill="1" applyBorder="1" applyAlignment="1">
      <alignment horizontal="center"/>
    </xf>
    <xf numFmtId="14" fontId="9" fillId="5" borderId="5" xfId="1" applyNumberFormat="1" applyFont="1" applyFill="1" applyBorder="1" applyAlignment="1">
      <alignment horizontal="center"/>
    </xf>
    <xf numFmtId="0" fontId="8" fillId="5" borderId="0" xfId="1" applyFont="1" applyFill="1" applyAlignment="1">
      <alignment horizontal="center"/>
    </xf>
    <xf numFmtId="20" fontId="6" fillId="0" borderId="0" xfId="1" applyNumberFormat="1" applyFont="1" applyAlignment="1">
      <alignment vertical="top"/>
    </xf>
    <xf numFmtId="20" fontId="7" fillId="0" borderId="0" xfId="1" applyNumberFormat="1" applyFont="1" applyAlignment="1">
      <alignment vertical="top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0" borderId="21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  <xf numFmtId="168" fontId="8" fillId="0" borderId="19" xfId="1" applyNumberFormat="1" applyFont="1" applyBorder="1" applyAlignment="1">
      <alignment horizontal="left" vertical="center"/>
    </xf>
    <xf numFmtId="168" fontId="8" fillId="0" borderId="32" xfId="1" applyNumberFormat="1" applyFont="1" applyBorder="1" applyAlignment="1">
      <alignment horizontal="left" vertical="center"/>
    </xf>
    <xf numFmtId="0" fontId="9" fillId="0" borderId="32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28" xfId="1" applyFont="1" applyBorder="1" applyAlignment="1">
      <alignment horizontal="center" vertical="center"/>
    </xf>
    <xf numFmtId="14" fontId="8" fillId="3" borderId="27" xfId="1" applyNumberFormat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center" vertical="center"/>
    </xf>
    <xf numFmtId="0" fontId="8" fillId="0" borderId="27" xfId="1" applyFont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0" fontId="8" fillId="0" borderId="30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68" fontId="8" fillId="0" borderId="16" xfId="1" applyNumberFormat="1" applyFont="1" applyBorder="1" applyAlignment="1">
      <alignment horizontal="left" vertical="center"/>
    </xf>
    <xf numFmtId="168" fontId="8" fillId="0" borderId="0" xfId="1" applyNumberFormat="1" applyFont="1" applyAlignment="1">
      <alignment horizontal="left" vertical="center"/>
    </xf>
    <xf numFmtId="0" fontId="9" fillId="0" borderId="0" xfId="1" applyFont="1" applyAlignment="1">
      <alignment horizontal="center" vertical="center"/>
    </xf>
    <xf numFmtId="0" fontId="9" fillId="0" borderId="31" xfId="1" applyFont="1" applyBorder="1" applyAlignment="1">
      <alignment horizontal="center" vertical="center"/>
    </xf>
  </cellXfs>
  <cellStyles count="3">
    <cellStyle name="Link" xfId="2" builtinId="8"/>
    <cellStyle name="Standard" xfId="0" builtinId="0"/>
    <cellStyle name="Standard 2" xfId="1" xr:uid="{A0E6E52C-FD67-4957-9BBD-04BE2C5A45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990600</xdr:colOff>
          <xdr:row>12</xdr:row>
          <xdr:rowOff>114300</xdr:rowOff>
        </xdr:to>
        <xdr:sp macro="" textlink="">
          <xdr:nvSpPr>
            <xdr:cNvPr id="1026" name="C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990600</xdr:colOff>
          <xdr:row>15</xdr:row>
          <xdr:rowOff>114300</xdr:rowOff>
        </xdr:to>
        <xdr:sp macro="" textlink="">
          <xdr:nvSpPr>
            <xdr:cNvPr id="1027" name="CB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95250</xdr:rowOff>
        </xdr:from>
        <xdr:to>
          <xdr:col>3</xdr:col>
          <xdr:colOff>990600</xdr:colOff>
          <xdr:row>19</xdr:row>
          <xdr:rowOff>19050</xdr:rowOff>
        </xdr:to>
        <xdr:sp macro="" textlink="">
          <xdr:nvSpPr>
            <xdr:cNvPr id="1028" name="CB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2E054-2D69-45F4-8695-7E6A3A6C2865}">
  <sheetPr codeName="Tabelle1"/>
  <dimension ref="B2:E7"/>
  <sheetViews>
    <sheetView workbookViewId="0">
      <selection activeCell="J8" sqref="J8"/>
    </sheetView>
  </sheetViews>
  <sheetFormatPr baseColWidth="10" defaultColWidth="11.42578125" defaultRowHeight="15.75" x14ac:dyDescent="0.25"/>
  <cols>
    <col min="1" max="2" width="11.42578125" style="81"/>
    <col min="3" max="3" width="14.140625" style="81" customWidth="1"/>
    <col min="4" max="4" width="18.140625" style="81" customWidth="1"/>
    <col min="5" max="5" width="31.42578125" style="81" customWidth="1"/>
    <col min="6" max="16384" width="11.42578125" style="81"/>
  </cols>
  <sheetData>
    <row r="2" spans="2:5" x14ac:dyDescent="0.25">
      <c r="B2" s="81" t="s">
        <v>50</v>
      </c>
      <c r="C2" s="89">
        <v>2013</v>
      </c>
    </row>
    <row r="4" spans="2:5" x14ac:dyDescent="0.25">
      <c r="C4" s="81" t="s">
        <v>3</v>
      </c>
      <c r="D4" s="81" t="s">
        <v>49</v>
      </c>
      <c r="E4" s="81" t="s">
        <v>13</v>
      </c>
    </row>
    <row r="5" spans="2:5" x14ac:dyDescent="0.25">
      <c r="B5" s="81" t="s">
        <v>5</v>
      </c>
      <c r="C5" s="88">
        <v>41612</v>
      </c>
      <c r="D5" s="87">
        <v>4</v>
      </c>
      <c r="E5" s="82" t="s">
        <v>48</v>
      </c>
    </row>
    <row r="6" spans="2:5" x14ac:dyDescent="0.25">
      <c r="B6" s="81" t="s">
        <v>6</v>
      </c>
      <c r="C6" s="86">
        <v>41613</v>
      </c>
      <c r="D6" s="85">
        <v>5</v>
      </c>
      <c r="E6" s="82" t="s">
        <v>47</v>
      </c>
    </row>
    <row r="7" spans="2:5" x14ac:dyDescent="0.25">
      <c r="B7" s="81" t="s">
        <v>7</v>
      </c>
      <c r="C7" s="84">
        <v>41614</v>
      </c>
      <c r="D7" s="83">
        <v>6</v>
      </c>
      <c r="E7" s="82" t="s">
        <v>46</v>
      </c>
    </row>
  </sheetData>
  <pageMargins left="0.78740157499999996" right="0.78740157499999996" top="0.984251969" bottom="0.984251969" header="0.4921259845" footer="0.4921259845"/>
  <pageSetup paperSize="9"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B2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3</xdr:col>
                <xdr:colOff>990600</xdr:colOff>
                <xdr:row>12</xdr:row>
                <xdr:rowOff>114300</xdr:rowOff>
              </to>
            </anchor>
          </controlPr>
        </control>
      </mc:Choice>
      <mc:Fallback>
        <control shapeId="1026" r:id="rId4" name="CB2"/>
      </mc:Fallback>
    </mc:AlternateContent>
    <mc:AlternateContent xmlns:mc="http://schemas.openxmlformats.org/markup-compatibility/2006">
      <mc:Choice Requires="x14">
        <control shapeId="1027" r:id="rId6" name="CB3">
          <controlPr defaultSize="0" autoLine="0" r:id="rId7">
            <anchor moveWithCells="1">
              <from>
                <xdr:col>2</xdr:col>
                <xdr:colOff>0</xdr:colOff>
                <xdr:row>14</xdr:row>
                <xdr:rowOff>0</xdr:rowOff>
              </from>
              <to>
                <xdr:col>3</xdr:col>
                <xdr:colOff>990600</xdr:colOff>
                <xdr:row>15</xdr:row>
                <xdr:rowOff>114300</xdr:rowOff>
              </to>
            </anchor>
          </controlPr>
        </control>
      </mc:Choice>
      <mc:Fallback>
        <control shapeId="1027" r:id="rId6" name="CB3"/>
      </mc:Fallback>
    </mc:AlternateContent>
    <mc:AlternateContent xmlns:mc="http://schemas.openxmlformats.org/markup-compatibility/2006">
      <mc:Choice Requires="x14">
        <control shapeId="1028" r:id="rId8" name="CB4">
          <controlPr defaultSize="0" autoLine="0" r:id="rId9">
            <anchor moveWithCells="1">
              <from>
                <xdr:col>2</xdr:col>
                <xdr:colOff>0</xdr:colOff>
                <xdr:row>17</xdr:row>
                <xdr:rowOff>95250</xdr:rowOff>
              </from>
              <to>
                <xdr:col>3</xdr:col>
                <xdr:colOff>990600</xdr:colOff>
                <xdr:row>19</xdr:row>
                <xdr:rowOff>19050</xdr:rowOff>
              </to>
            </anchor>
          </controlPr>
        </control>
      </mc:Choice>
      <mc:Fallback>
        <control shapeId="1028" r:id="rId8" name="CB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617E0-0366-441A-9E74-3C716185DBA7}">
  <sheetPr codeName="Tabelle22"/>
  <dimension ref="A1:E144"/>
  <sheetViews>
    <sheetView workbookViewId="0">
      <selection activeCell="G11" sqref="G11"/>
    </sheetView>
  </sheetViews>
  <sheetFormatPr baseColWidth="10" defaultColWidth="11.42578125" defaultRowHeight="12.75" x14ac:dyDescent="0.25"/>
  <cols>
    <col min="1" max="1" width="30.7109375" style="30" customWidth="1"/>
    <col min="2" max="2" width="5.5703125" style="80" bestFit="1" customWidth="1"/>
    <col min="3" max="3" width="20.7109375" style="34" bestFit="1" customWidth="1"/>
    <col min="4" max="4" width="8.7109375" style="30" bestFit="1" customWidth="1"/>
    <col min="5" max="5" width="8.140625" style="30" bestFit="1" customWidth="1"/>
    <col min="6" max="16384" width="11.42578125" style="30"/>
  </cols>
  <sheetData>
    <row r="1" spans="1:5" s="28" customFormat="1" x14ac:dyDescent="0.25">
      <c r="A1" s="28" t="s">
        <v>9</v>
      </c>
      <c r="B1" s="79" t="s">
        <v>10</v>
      </c>
      <c r="C1" s="29" t="s">
        <v>11</v>
      </c>
      <c r="D1" s="28" t="s">
        <v>12</v>
      </c>
      <c r="E1" s="28" t="s">
        <v>13</v>
      </c>
    </row>
    <row r="2" spans="1:5" x14ac:dyDescent="0.25">
      <c r="C2" s="31"/>
    </row>
    <row r="4" spans="1:5" x14ac:dyDescent="0.25">
      <c r="C4" s="31"/>
    </row>
    <row r="5" spans="1:5" x14ac:dyDescent="0.25">
      <c r="C5" s="32"/>
    </row>
    <row r="6" spans="1:5" x14ac:dyDescent="0.25">
      <c r="C6" s="32"/>
    </row>
    <row r="7" spans="1:5" x14ac:dyDescent="0.25">
      <c r="C7" s="31"/>
    </row>
    <row r="8" spans="1:5" x14ac:dyDescent="0.25">
      <c r="C8" s="31"/>
    </row>
    <row r="9" spans="1:5" x14ac:dyDescent="0.25">
      <c r="C9" s="32"/>
    </row>
    <row r="10" spans="1:5" x14ac:dyDescent="0.25">
      <c r="C10" s="32"/>
    </row>
    <row r="11" spans="1:5" x14ac:dyDescent="0.25">
      <c r="C11" s="31"/>
    </row>
    <row r="12" spans="1:5" x14ac:dyDescent="0.25">
      <c r="C12" s="31"/>
    </row>
    <row r="14" spans="1:5" x14ac:dyDescent="0.25">
      <c r="C14" s="32"/>
    </row>
    <row r="16" spans="1:5" x14ac:dyDescent="0.25">
      <c r="C16" s="32"/>
    </row>
    <row r="17" spans="1:3" x14ac:dyDescent="0.25">
      <c r="C17" s="32"/>
    </row>
    <row r="19" spans="1:3" x14ac:dyDescent="0.25">
      <c r="C19" s="31"/>
    </row>
    <row r="21" spans="1:3" x14ac:dyDescent="0.25">
      <c r="C21" s="31"/>
    </row>
    <row r="23" spans="1:3" x14ac:dyDescent="0.25">
      <c r="C23" s="31"/>
    </row>
    <row r="24" spans="1:3" x14ac:dyDescent="0.25">
      <c r="C24" s="31"/>
    </row>
    <row r="25" spans="1:3" x14ac:dyDescent="0.25">
      <c r="C25" s="32"/>
    </row>
    <row r="27" spans="1:3" x14ac:dyDescent="0.25">
      <c r="C27" s="31"/>
    </row>
    <row r="29" spans="1:3" x14ac:dyDescent="0.25">
      <c r="A29" s="33"/>
      <c r="C29" s="31"/>
    </row>
    <row r="31" spans="1:3" x14ac:dyDescent="0.25">
      <c r="C31" s="32"/>
    </row>
    <row r="33" spans="3:3" x14ac:dyDescent="0.25">
      <c r="C33" s="31"/>
    </row>
    <row r="34" spans="3:3" x14ac:dyDescent="0.25">
      <c r="C34" s="31"/>
    </row>
    <row r="35" spans="3:3" x14ac:dyDescent="0.25">
      <c r="C35" s="32"/>
    </row>
    <row r="36" spans="3:3" x14ac:dyDescent="0.25">
      <c r="C36" s="31"/>
    </row>
    <row r="39" spans="3:3" x14ac:dyDescent="0.25">
      <c r="C39" s="32"/>
    </row>
    <row r="40" spans="3:3" x14ac:dyDescent="0.25">
      <c r="C40" s="31"/>
    </row>
    <row r="41" spans="3:3" x14ac:dyDescent="0.25">
      <c r="C41" s="31"/>
    </row>
    <row r="42" spans="3:3" x14ac:dyDescent="0.25">
      <c r="C42" s="31"/>
    </row>
    <row r="43" spans="3:3" x14ac:dyDescent="0.25">
      <c r="C43" s="31"/>
    </row>
    <row r="44" spans="3:3" x14ac:dyDescent="0.25">
      <c r="C44" s="31"/>
    </row>
    <row r="45" spans="3:3" x14ac:dyDescent="0.25">
      <c r="C45" s="32"/>
    </row>
    <row r="46" spans="3:3" x14ac:dyDescent="0.25">
      <c r="C46" s="32"/>
    </row>
    <row r="48" spans="3:3" x14ac:dyDescent="0.25">
      <c r="C48" s="31"/>
    </row>
    <row r="49" spans="3:3" x14ac:dyDescent="0.25">
      <c r="C49" s="31"/>
    </row>
    <row r="50" spans="3:3" x14ac:dyDescent="0.25">
      <c r="C50" s="32"/>
    </row>
    <row r="52" spans="3:3" x14ac:dyDescent="0.25">
      <c r="C52" s="31"/>
    </row>
    <row r="53" spans="3:3" x14ac:dyDescent="0.25">
      <c r="C53" s="31"/>
    </row>
    <row r="55" spans="3:3" x14ac:dyDescent="0.25">
      <c r="C55" s="32"/>
    </row>
    <row r="56" spans="3:3" x14ac:dyDescent="0.25">
      <c r="C56" s="32"/>
    </row>
    <row r="58" spans="3:3" x14ac:dyDescent="0.25">
      <c r="C58" s="31"/>
    </row>
    <row r="59" spans="3:3" x14ac:dyDescent="0.25">
      <c r="C59" s="31"/>
    </row>
    <row r="61" spans="3:3" x14ac:dyDescent="0.25">
      <c r="C61" s="31"/>
    </row>
    <row r="65" spans="3:3" x14ac:dyDescent="0.25">
      <c r="C65" s="31"/>
    </row>
    <row r="66" spans="3:3" x14ac:dyDescent="0.25">
      <c r="C66" s="31"/>
    </row>
    <row r="68" spans="3:3" x14ac:dyDescent="0.25">
      <c r="C68" s="31"/>
    </row>
    <row r="69" spans="3:3" x14ac:dyDescent="0.25">
      <c r="C69" s="32"/>
    </row>
    <row r="70" spans="3:3" x14ac:dyDescent="0.25">
      <c r="C70" s="31"/>
    </row>
    <row r="72" spans="3:3" x14ac:dyDescent="0.25">
      <c r="C72" s="31"/>
    </row>
    <row r="73" spans="3:3" x14ac:dyDescent="0.25">
      <c r="C73" s="32"/>
    </row>
    <row r="74" spans="3:3" x14ac:dyDescent="0.25">
      <c r="C74" s="32"/>
    </row>
    <row r="75" spans="3:3" x14ac:dyDescent="0.25">
      <c r="C75" s="32"/>
    </row>
    <row r="77" spans="3:3" x14ac:dyDescent="0.25">
      <c r="C77" s="32"/>
    </row>
    <row r="78" spans="3:3" x14ac:dyDescent="0.25">
      <c r="C78" s="32"/>
    </row>
    <row r="79" spans="3:3" x14ac:dyDescent="0.25">
      <c r="C79" s="32"/>
    </row>
    <row r="80" spans="3:3" x14ac:dyDescent="0.25">
      <c r="C80" s="31"/>
    </row>
    <row r="84" spans="3:3" x14ac:dyDescent="0.25">
      <c r="C84" s="31"/>
    </row>
    <row r="90" spans="3:3" x14ac:dyDescent="0.25">
      <c r="C90" s="31"/>
    </row>
    <row r="91" spans="3:3" x14ac:dyDescent="0.25">
      <c r="C91" s="31"/>
    </row>
    <row r="92" spans="3:3" x14ac:dyDescent="0.25">
      <c r="C92" s="32"/>
    </row>
    <row r="93" spans="3:3" x14ac:dyDescent="0.25">
      <c r="C93" s="31"/>
    </row>
    <row r="94" spans="3:3" x14ac:dyDescent="0.25">
      <c r="C94" s="31"/>
    </row>
    <row r="95" spans="3:3" x14ac:dyDescent="0.25">
      <c r="C95" s="31"/>
    </row>
    <row r="98" spans="3:3" x14ac:dyDescent="0.25">
      <c r="C98" s="32"/>
    </row>
    <row r="101" spans="3:3" x14ac:dyDescent="0.25">
      <c r="C101" s="31"/>
    </row>
    <row r="103" spans="3:3" x14ac:dyDescent="0.25">
      <c r="C103" s="32"/>
    </row>
    <row r="104" spans="3:3" x14ac:dyDescent="0.25">
      <c r="C104" s="31"/>
    </row>
    <row r="105" spans="3:3" x14ac:dyDescent="0.25">
      <c r="C105" s="31"/>
    </row>
    <row r="107" spans="3:3" x14ac:dyDescent="0.25">
      <c r="C107" s="32"/>
    </row>
    <row r="108" spans="3:3" x14ac:dyDescent="0.25">
      <c r="C108" s="32"/>
    </row>
    <row r="109" spans="3:3" x14ac:dyDescent="0.25">
      <c r="C109" s="31"/>
    </row>
    <row r="111" spans="3:3" x14ac:dyDescent="0.25">
      <c r="C111" s="31"/>
    </row>
    <row r="112" spans="3:3" x14ac:dyDescent="0.25">
      <c r="C112" s="32"/>
    </row>
    <row r="113" spans="3:3" x14ac:dyDescent="0.25">
      <c r="C113" s="31"/>
    </row>
    <row r="114" spans="3:3" x14ac:dyDescent="0.25">
      <c r="C114" s="31"/>
    </row>
    <row r="116" spans="3:3" x14ac:dyDescent="0.25">
      <c r="C116" s="32"/>
    </row>
    <row r="117" spans="3:3" x14ac:dyDescent="0.25">
      <c r="C117" s="32"/>
    </row>
    <row r="120" spans="3:3" x14ac:dyDescent="0.25">
      <c r="C120" s="31"/>
    </row>
    <row r="123" spans="3:3" x14ac:dyDescent="0.25">
      <c r="C123" s="32"/>
    </row>
    <row r="127" spans="3:3" x14ac:dyDescent="0.25">
      <c r="C127" s="31"/>
    </row>
    <row r="128" spans="3:3" x14ac:dyDescent="0.25">
      <c r="C128" s="32"/>
    </row>
    <row r="129" spans="3:3" x14ac:dyDescent="0.25">
      <c r="C129" s="31"/>
    </row>
    <row r="130" spans="3:3" x14ac:dyDescent="0.25">
      <c r="C130" s="31"/>
    </row>
    <row r="134" spans="3:3" x14ac:dyDescent="0.25">
      <c r="C134" s="31"/>
    </row>
    <row r="135" spans="3:3" x14ac:dyDescent="0.25">
      <c r="C135" s="31"/>
    </row>
    <row r="138" spans="3:3" x14ac:dyDescent="0.25">
      <c r="C138" s="32"/>
    </row>
    <row r="139" spans="3:3" x14ac:dyDescent="0.25">
      <c r="C139" s="32"/>
    </row>
    <row r="140" spans="3:3" x14ac:dyDescent="0.25">
      <c r="C140" s="32"/>
    </row>
    <row r="141" spans="3:3" x14ac:dyDescent="0.25">
      <c r="C141" s="32"/>
    </row>
    <row r="142" spans="3:3" x14ac:dyDescent="0.25">
      <c r="C142" s="31"/>
    </row>
    <row r="143" spans="3:3" x14ac:dyDescent="0.25">
      <c r="C143" s="31"/>
    </row>
    <row r="144" spans="3:3" x14ac:dyDescent="0.25">
      <c r="C144" s="32"/>
    </row>
  </sheetData>
  <printOptions gridLines="1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>
    <oddHeader>&amp;C&amp;B &amp;12 Besuchszeiten 2013</oddHeader>
    <oddFooter>&amp;L&amp;"Arial,Standard"&amp;8Version 1.0&amp;C&amp;"Arial,Standard"&amp;8Seite &amp;P von &amp;N&amp;R&amp;"Arial,Standard"&amp;8Ausdruck vom: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C90CD-60F9-46BF-A7F7-21879C8C6693}">
  <sheetPr codeName="Tabelle23">
    <pageSetUpPr fitToPage="1"/>
  </sheetPr>
  <dimension ref="A1:F7"/>
  <sheetViews>
    <sheetView workbookViewId="0">
      <selection activeCell="J10" sqref="J10"/>
    </sheetView>
  </sheetViews>
  <sheetFormatPr baseColWidth="10" defaultColWidth="11.42578125" defaultRowHeight="12.75" x14ac:dyDescent="0.2"/>
  <cols>
    <col min="1" max="1" width="10.7109375" style="1" bestFit="1" customWidth="1"/>
    <col min="2" max="2" width="10.140625" style="1" bestFit="1" customWidth="1"/>
    <col min="3" max="3" width="11.42578125" style="1"/>
    <col min="4" max="4" width="13.140625" style="27" customWidth="1"/>
    <col min="5" max="16384" width="11.42578125" style="1"/>
  </cols>
  <sheetData>
    <row r="1" spans="1:6" ht="18" customHeight="1" thickTop="1" x14ac:dyDescent="0.2">
      <c r="C1" s="92" t="s">
        <v>0</v>
      </c>
      <c r="D1" s="93"/>
      <c r="E1" s="2" t="s">
        <v>1</v>
      </c>
      <c r="F1" s="3" t="s">
        <v>2</v>
      </c>
    </row>
    <row r="2" spans="1:6" ht="18" customHeight="1" x14ac:dyDescent="0.2">
      <c r="A2" s="4"/>
      <c r="B2" s="5" t="s">
        <v>3</v>
      </c>
      <c r="C2" s="6"/>
      <c r="D2" s="7" t="s">
        <v>4</v>
      </c>
      <c r="E2" s="8"/>
      <c r="F2" s="9"/>
    </row>
    <row r="3" spans="1:6" s="15" customFormat="1" ht="25.15" customHeight="1" x14ac:dyDescent="0.25">
      <c r="A3" s="10" t="s">
        <v>5</v>
      </c>
      <c r="B3" s="11"/>
      <c r="C3" s="12"/>
      <c r="D3" s="13">
        <f>AnzahlGruppenR1*2</f>
        <v>8</v>
      </c>
      <c r="E3" s="12"/>
      <c r="F3" s="14"/>
    </row>
    <row r="4" spans="1:6" s="15" customFormat="1" ht="25.15" customHeight="1" x14ac:dyDescent="0.25">
      <c r="A4" s="16" t="s">
        <v>6</v>
      </c>
      <c r="B4" s="17"/>
      <c r="C4" s="18"/>
      <c r="D4" s="19">
        <f>AnzahlGruppenR2*2</f>
        <v>10</v>
      </c>
      <c r="E4" s="18"/>
      <c r="F4" s="14"/>
    </row>
    <row r="5" spans="1:6" s="15" customFormat="1" ht="25.15" customHeight="1" x14ac:dyDescent="0.25">
      <c r="A5" s="20" t="s">
        <v>7</v>
      </c>
      <c r="B5" s="21"/>
      <c r="C5" s="22"/>
      <c r="D5" s="23">
        <f>AnzahlGruppenR3*2</f>
        <v>12</v>
      </c>
      <c r="E5" s="18"/>
      <c r="F5" s="14"/>
    </row>
    <row r="6" spans="1:6" s="15" customFormat="1" ht="20.25" customHeight="1" thickBot="1" x14ac:dyDescent="0.3">
      <c r="A6" s="94" t="s">
        <v>8</v>
      </c>
      <c r="B6" s="95"/>
      <c r="C6" s="24">
        <f>SUM(C3:C5)</f>
        <v>0</v>
      </c>
      <c r="D6" s="25">
        <f>SUM(D3:D5)</f>
        <v>30</v>
      </c>
      <c r="E6" s="24">
        <f>SUM(E3:E5)</f>
        <v>0</v>
      </c>
      <c r="F6" s="26">
        <f>SUM(F3:F5)</f>
        <v>0</v>
      </c>
    </row>
    <row r="7" spans="1:6" ht="13.5" thickTop="1" x14ac:dyDescent="0.2"/>
  </sheetData>
  <mergeCells count="2">
    <mergeCell ref="C1:D1"/>
    <mergeCell ref="A6:B6"/>
  </mergeCells>
  <pageMargins left="0.9055118110236221" right="0.39370078740157483" top="0.98425196850393704" bottom="0.39370078740157483" header="0.31496062992125984" footer="0.47244094488188981"/>
  <pageSetup paperSize="9" orientation="portrait" r:id="rId1"/>
  <headerFooter alignWithMargins="0">
    <oddHeader xml:space="preserve">&amp;C&amp;"MS Sans Serif,Fett"&amp;13Materialliste 2013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C001-7CCF-4C32-84A8-41B91CBDFB43}">
  <sheetPr codeName="Tabelle24">
    <pageSetUpPr fitToPage="1"/>
  </sheetPr>
  <dimension ref="A1:J1"/>
  <sheetViews>
    <sheetView workbookViewId="0">
      <selection activeCell="H14" sqref="H14"/>
    </sheetView>
  </sheetViews>
  <sheetFormatPr baseColWidth="10" defaultColWidth="11.42578125" defaultRowHeight="14.25" x14ac:dyDescent="0.25"/>
  <cols>
    <col min="1" max="1" width="11.140625" style="37" bestFit="1" customWidth="1"/>
    <col min="2" max="3" width="8.7109375" style="38" bestFit="1" customWidth="1"/>
    <col min="4" max="4" width="4" style="38" bestFit="1" customWidth="1"/>
    <col min="5" max="5" width="14.42578125" style="91" bestFit="1" customWidth="1"/>
    <col min="6" max="6" width="6.140625" style="91" bestFit="1" customWidth="1"/>
    <col min="7" max="7" width="63.7109375" style="38" bestFit="1" customWidth="1"/>
    <col min="8" max="8" width="31.5703125" style="38" bestFit="1" customWidth="1"/>
    <col min="9" max="9" width="25.42578125" style="38" bestFit="1" customWidth="1"/>
    <col min="10" max="10" width="23.7109375" style="38" bestFit="1" customWidth="1"/>
    <col min="11" max="16384" width="11.42578125" style="38"/>
  </cols>
  <sheetData>
    <row r="1" spans="1:10" s="36" customFormat="1" ht="15" x14ac:dyDescent="0.25">
      <c r="A1" s="35" t="s">
        <v>3</v>
      </c>
      <c r="B1" s="36" t="s">
        <v>13</v>
      </c>
      <c r="C1" s="36" t="s">
        <v>12</v>
      </c>
      <c r="D1" s="36" t="s">
        <v>14</v>
      </c>
      <c r="E1" s="90" t="s">
        <v>10</v>
      </c>
      <c r="F1" s="90" t="s">
        <v>10</v>
      </c>
      <c r="G1" s="36" t="s">
        <v>15</v>
      </c>
      <c r="H1" s="36" t="s">
        <v>16</v>
      </c>
      <c r="I1" s="36" t="s">
        <v>17</v>
      </c>
      <c r="J1" s="36" t="s">
        <v>18</v>
      </c>
    </row>
  </sheetData>
  <printOptions gridLines="1"/>
  <pageMargins left="0.78740157480314965" right="0.78740157480314965" top="0.98425196850393704" bottom="0.98425196850393704" header="0.51181102362204722" footer="0.51181102362204722"/>
  <pageSetup paperSize="9" scale="65" orientation="landscape" r:id="rId1"/>
  <headerFooter alignWithMargins="0">
    <oddHeader>&amp;L&amp;B &amp;12 Einsatzzeiten 2013</oddHeader>
    <oddFooter>&amp;L&amp;"Arial,Standard"Version 1.0&amp;R&amp;"Arial,Standard"Ausdruck vom: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9B72F-35FC-460E-9971-6C4AA601A027}">
  <sheetPr codeName="Tabelle2">
    <pageSetUpPr fitToPage="1"/>
  </sheetPr>
  <dimension ref="A1:H24"/>
  <sheetViews>
    <sheetView tabSelected="1" topLeftCell="A4" workbookViewId="0">
      <selection activeCell="R7" sqref="R7"/>
    </sheetView>
  </sheetViews>
  <sheetFormatPr baseColWidth="10" defaultColWidth="9.140625" defaultRowHeight="20.100000000000001" customHeight="1" x14ac:dyDescent="0.25"/>
  <cols>
    <col min="1" max="1" width="8.85546875" style="75" customWidth="1"/>
    <col min="2" max="2" width="8.7109375" style="76" customWidth="1"/>
    <col min="3" max="3" width="42.7109375" style="76" customWidth="1"/>
    <col min="4" max="4" width="37.7109375" style="76" customWidth="1"/>
    <col min="5" max="5" width="8.7109375" style="76" customWidth="1"/>
    <col min="6" max="6" width="7.28515625" style="76" customWidth="1"/>
    <col min="7" max="7" width="6.7109375" style="76" customWidth="1"/>
    <col min="8" max="8" width="11.5703125" style="78" customWidth="1"/>
    <col min="9" max="16384" width="9.140625" style="76"/>
  </cols>
  <sheetData>
    <row r="1" spans="1:8" s="45" customFormat="1" ht="22.15" customHeight="1" thickTop="1" thickBot="1" x14ac:dyDescent="0.3">
      <c r="A1" s="39" t="s">
        <v>19</v>
      </c>
      <c r="B1" s="40"/>
      <c r="C1" s="41"/>
      <c r="D1" s="42" t="s">
        <v>20</v>
      </c>
      <c r="E1" s="43"/>
      <c r="F1" s="102"/>
      <c r="G1" s="103"/>
      <c r="H1" s="44"/>
    </row>
    <row r="2" spans="1:8" s="49" customFormat="1" ht="36" customHeight="1" thickTop="1" x14ac:dyDescent="0.25">
      <c r="A2" s="46" t="s">
        <v>21</v>
      </c>
      <c r="B2" s="47"/>
      <c r="C2" s="104"/>
      <c r="D2" s="104"/>
      <c r="E2" s="104"/>
      <c r="F2" s="104"/>
      <c r="G2" s="101"/>
      <c r="H2" s="48"/>
    </row>
    <row r="3" spans="1:8" s="49" customFormat="1" ht="36" customHeight="1" x14ac:dyDescent="0.25">
      <c r="A3" s="50" t="s">
        <v>22</v>
      </c>
      <c r="B3" s="51"/>
      <c r="C3" s="105"/>
      <c r="D3" s="105"/>
      <c r="E3" s="105"/>
      <c r="F3" s="105"/>
      <c r="G3" s="106"/>
      <c r="H3" s="48"/>
    </row>
    <row r="4" spans="1:8" s="49" customFormat="1" ht="36" customHeight="1" x14ac:dyDescent="0.25">
      <c r="A4" s="52" t="s">
        <v>23</v>
      </c>
      <c r="B4" s="53"/>
      <c r="C4" s="107"/>
      <c r="D4" s="107"/>
      <c r="E4" s="107"/>
      <c r="F4" s="107"/>
      <c r="G4" s="108"/>
      <c r="H4" s="48"/>
    </row>
    <row r="5" spans="1:8" s="49" customFormat="1" ht="36" customHeight="1" x14ac:dyDescent="0.25">
      <c r="A5" s="109" t="s">
        <v>24</v>
      </c>
      <c r="B5" s="110"/>
      <c r="C5" s="111" t="s">
        <v>25</v>
      </c>
      <c r="D5" s="111"/>
      <c r="E5" s="111"/>
      <c r="F5" s="111"/>
      <c r="G5" s="112"/>
      <c r="H5" s="48"/>
    </row>
    <row r="6" spans="1:8" s="49" customFormat="1" ht="36" customHeight="1" x14ac:dyDescent="0.25">
      <c r="A6" s="96" t="s">
        <v>24</v>
      </c>
      <c r="B6" s="97"/>
      <c r="C6" s="98" t="s">
        <v>25</v>
      </c>
      <c r="D6" s="98"/>
      <c r="E6" s="98"/>
      <c r="F6" s="98"/>
      <c r="G6" s="99"/>
    </row>
    <row r="7" spans="1:8" s="49" customFormat="1" ht="36" customHeight="1" x14ac:dyDescent="0.25">
      <c r="A7" s="55" t="s">
        <v>26</v>
      </c>
      <c r="B7" s="56" t="s">
        <v>27</v>
      </c>
      <c r="C7" s="100" t="s">
        <v>15</v>
      </c>
      <c r="D7" s="101"/>
      <c r="E7" s="57" t="s">
        <v>28</v>
      </c>
      <c r="F7" s="57" t="s">
        <v>1</v>
      </c>
      <c r="G7" s="57" t="s">
        <v>2</v>
      </c>
      <c r="H7" s="54" t="s">
        <v>51</v>
      </c>
    </row>
    <row r="8" spans="1:8" s="49" customFormat="1" ht="25.15" customHeight="1" thickBot="1" x14ac:dyDescent="0.3">
      <c r="A8" s="58">
        <f>B8-TIME(0,30,0)</f>
        <v>0.6875</v>
      </c>
      <c r="B8" s="59">
        <v>0.70833333333333337</v>
      </c>
      <c r="C8" s="59" t="s">
        <v>9</v>
      </c>
      <c r="D8" s="60" t="s">
        <v>29</v>
      </c>
      <c r="E8" s="61">
        <f>SUM(E9:E22)</f>
        <v>0</v>
      </c>
      <c r="F8" s="62">
        <f>SUM(F9:F22)</f>
        <v>0</v>
      </c>
      <c r="G8" s="62">
        <f>SUM(G9:G22)</f>
        <v>0</v>
      </c>
      <c r="H8" s="63"/>
    </row>
    <row r="9" spans="1:8" s="69" customFormat="1" ht="34.15" customHeight="1" x14ac:dyDescent="0.25">
      <c r="A9" s="64" t="s">
        <v>30</v>
      </c>
      <c r="B9" s="65">
        <f>B8</f>
        <v>0.70833333333333337</v>
      </c>
      <c r="C9" s="65"/>
      <c r="D9" s="66"/>
      <c r="E9" s="67"/>
      <c r="F9" s="68"/>
      <c r="G9" s="67"/>
      <c r="H9" s="63"/>
    </row>
    <row r="10" spans="1:8" s="69" customFormat="1" ht="34.15" customHeight="1" x14ac:dyDescent="0.25">
      <c r="A10" s="70" t="s">
        <v>31</v>
      </c>
      <c r="B10" s="71">
        <f t="shared" ref="B10:B22" si="0">B9+H9</f>
        <v>0.70833333333333337</v>
      </c>
      <c r="C10" s="71"/>
      <c r="D10" s="72"/>
      <c r="E10" s="73"/>
      <c r="F10" s="74"/>
      <c r="G10" s="73"/>
      <c r="H10" s="63"/>
    </row>
    <row r="11" spans="1:8" s="69" customFormat="1" ht="34.15" customHeight="1" x14ac:dyDescent="0.25">
      <c r="A11" s="70" t="s">
        <v>32</v>
      </c>
      <c r="B11" s="71">
        <f t="shared" si="0"/>
        <v>0.70833333333333337</v>
      </c>
      <c r="C11" s="71"/>
      <c r="D11" s="72"/>
      <c r="E11" s="73"/>
      <c r="F11" s="74"/>
      <c r="G11" s="73"/>
      <c r="H11" s="63"/>
    </row>
    <row r="12" spans="1:8" s="69" customFormat="1" ht="34.15" customHeight="1" x14ac:dyDescent="0.25">
      <c r="A12" s="70" t="s">
        <v>33</v>
      </c>
      <c r="B12" s="71">
        <f t="shared" si="0"/>
        <v>0.70833333333333337</v>
      </c>
      <c r="C12" s="71"/>
      <c r="D12" s="72"/>
      <c r="E12" s="73"/>
      <c r="F12" s="74"/>
      <c r="G12" s="73"/>
      <c r="H12" s="63"/>
    </row>
    <row r="13" spans="1:8" s="69" customFormat="1" ht="34.15" customHeight="1" x14ac:dyDescent="0.25">
      <c r="A13" s="70" t="s">
        <v>34</v>
      </c>
      <c r="B13" s="71">
        <f t="shared" si="0"/>
        <v>0.70833333333333337</v>
      </c>
      <c r="C13" s="71"/>
      <c r="D13" s="72"/>
      <c r="E13" s="73"/>
      <c r="F13" s="74"/>
      <c r="G13" s="73"/>
      <c r="H13" s="63"/>
    </row>
    <row r="14" spans="1:8" s="69" customFormat="1" ht="34.15" customHeight="1" x14ac:dyDescent="0.25">
      <c r="A14" s="70" t="s">
        <v>35</v>
      </c>
      <c r="B14" s="71">
        <f t="shared" si="0"/>
        <v>0.70833333333333337</v>
      </c>
      <c r="C14" s="71"/>
      <c r="D14" s="72"/>
      <c r="E14" s="73"/>
      <c r="F14" s="74"/>
      <c r="G14" s="73"/>
      <c r="H14" s="63"/>
    </row>
    <row r="15" spans="1:8" s="69" customFormat="1" ht="34.15" customHeight="1" x14ac:dyDescent="0.25">
      <c r="A15" s="70" t="s">
        <v>36</v>
      </c>
      <c r="B15" s="71">
        <f t="shared" si="0"/>
        <v>0.70833333333333337</v>
      </c>
      <c r="C15" s="71"/>
      <c r="D15" s="72"/>
      <c r="E15" s="73"/>
      <c r="F15" s="74"/>
      <c r="G15" s="73"/>
      <c r="H15" s="63"/>
    </row>
    <row r="16" spans="1:8" s="69" customFormat="1" ht="34.15" customHeight="1" x14ac:dyDescent="0.25">
      <c r="A16" s="70" t="s">
        <v>37</v>
      </c>
      <c r="B16" s="71">
        <f t="shared" si="0"/>
        <v>0.70833333333333337</v>
      </c>
      <c r="C16" s="71"/>
      <c r="D16" s="72"/>
      <c r="E16" s="73"/>
      <c r="F16" s="74"/>
      <c r="G16" s="73"/>
      <c r="H16" s="63"/>
    </row>
    <row r="17" spans="1:8" s="69" customFormat="1" ht="34.15" customHeight="1" x14ac:dyDescent="0.25">
      <c r="A17" s="70" t="s">
        <v>38</v>
      </c>
      <c r="B17" s="71">
        <f t="shared" si="0"/>
        <v>0.70833333333333337</v>
      </c>
      <c r="C17" s="71"/>
      <c r="D17" s="72"/>
      <c r="E17" s="73"/>
      <c r="F17" s="74"/>
      <c r="G17" s="73"/>
      <c r="H17" s="63"/>
    </row>
    <row r="18" spans="1:8" s="69" customFormat="1" ht="34.15" customHeight="1" x14ac:dyDescent="0.25">
      <c r="A18" s="70" t="s">
        <v>39</v>
      </c>
      <c r="B18" s="71">
        <f t="shared" si="0"/>
        <v>0.70833333333333337</v>
      </c>
      <c r="C18" s="71"/>
      <c r="D18" s="72"/>
      <c r="E18" s="73"/>
      <c r="F18" s="74"/>
      <c r="G18" s="73"/>
      <c r="H18" s="63"/>
    </row>
    <row r="19" spans="1:8" s="69" customFormat="1" ht="34.15" customHeight="1" x14ac:dyDescent="0.25">
      <c r="A19" s="70" t="s">
        <v>40</v>
      </c>
      <c r="B19" s="71">
        <f t="shared" si="0"/>
        <v>0.70833333333333337</v>
      </c>
      <c r="C19" s="71"/>
      <c r="D19" s="72"/>
      <c r="E19" s="73"/>
      <c r="F19" s="74"/>
      <c r="G19" s="73"/>
      <c r="H19" s="63"/>
    </row>
    <row r="20" spans="1:8" s="69" customFormat="1" ht="34.15" customHeight="1" x14ac:dyDescent="0.25">
      <c r="A20" s="70" t="s">
        <v>41</v>
      </c>
      <c r="B20" s="71">
        <f t="shared" si="0"/>
        <v>0.70833333333333337</v>
      </c>
      <c r="C20" s="71"/>
      <c r="D20" s="72"/>
      <c r="E20" s="73"/>
      <c r="F20" s="74"/>
      <c r="G20" s="73"/>
      <c r="H20" s="63"/>
    </row>
    <row r="21" spans="1:8" s="69" customFormat="1" ht="34.15" customHeight="1" x14ac:dyDescent="0.25">
      <c r="A21" s="70" t="s">
        <v>42</v>
      </c>
      <c r="B21" s="71">
        <f t="shared" si="0"/>
        <v>0.70833333333333337</v>
      </c>
      <c r="C21" s="71"/>
      <c r="D21" s="72"/>
      <c r="E21" s="73"/>
      <c r="F21" s="74"/>
      <c r="G21" s="73"/>
      <c r="H21" s="63"/>
    </row>
    <row r="22" spans="1:8" s="69" customFormat="1" ht="34.15" customHeight="1" x14ac:dyDescent="0.25">
      <c r="A22" s="70" t="s">
        <v>43</v>
      </c>
      <c r="B22" s="71">
        <f t="shared" si="0"/>
        <v>0.70833333333333337</v>
      </c>
      <c r="C22" s="71"/>
      <c r="D22" s="72"/>
      <c r="E22" s="73"/>
      <c r="F22" s="74"/>
      <c r="G22" s="73"/>
      <c r="H22" s="63"/>
    </row>
    <row r="23" spans="1:8" ht="20.100000000000001" customHeight="1" x14ac:dyDescent="0.25">
      <c r="D23" s="77" t="s">
        <v>44</v>
      </c>
      <c r="E23" s="76" t="s">
        <v>45</v>
      </c>
    </row>
    <row r="24" spans="1:8" ht="20.100000000000001" customHeight="1" x14ac:dyDescent="0.25">
      <c r="D24" s="77"/>
    </row>
  </sheetData>
  <mergeCells count="9">
    <mergeCell ref="A6:B6"/>
    <mergeCell ref="C6:G6"/>
    <mergeCell ref="C7:D7"/>
    <mergeCell ref="F1:G1"/>
    <mergeCell ref="C2:G2"/>
    <mergeCell ref="C3:G3"/>
    <mergeCell ref="C4:G4"/>
    <mergeCell ref="A5:B5"/>
    <mergeCell ref="C5:G5"/>
  </mergeCells>
  <pageMargins left="0.68" right="0.39370078740157483" top="0.70866141732283472" bottom="0.39370078740157483" header="0.51181102362204722" footer="0.47244094488188981"/>
  <pageSetup paperSize="9" scale="9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21</vt:i4>
      </vt:variant>
    </vt:vector>
  </HeadingPairs>
  <TitlesOfParts>
    <vt:vector size="26" baseType="lpstr">
      <vt:lpstr>Eingabe</vt:lpstr>
      <vt:lpstr>Besuchszeiten</vt:lpstr>
      <vt:lpstr>Material</vt:lpstr>
      <vt:lpstr>Startzeiten</vt:lpstr>
      <vt:lpstr>Vorlage</vt:lpstr>
      <vt:lpstr>AnzahlGruppenR1</vt:lpstr>
      <vt:lpstr>AnzahlGruppenR2</vt:lpstr>
      <vt:lpstr>AnzahlGruppenR3</vt:lpstr>
      <vt:lpstr>DatumRayon1</vt:lpstr>
      <vt:lpstr>DatumRayon2</vt:lpstr>
      <vt:lpstr>DatumRayon3</vt:lpstr>
      <vt:lpstr>Vorlage!Druckbereich</vt:lpstr>
      <vt:lpstr>Besuchszeiten!Drucktitel</vt:lpstr>
      <vt:lpstr>Jahr</vt:lpstr>
      <vt:lpstr>NameRayon1</vt:lpstr>
      <vt:lpstr>NameRayon2</vt:lpstr>
      <vt:lpstr>NameRayon3</vt:lpstr>
      <vt:lpstr>RI_Sack</vt:lpstr>
      <vt:lpstr>RI_Wegge</vt:lpstr>
      <vt:lpstr>RI_Zopf</vt:lpstr>
      <vt:lpstr>RII_Sack</vt:lpstr>
      <vt:lpstr>RII_Wegge</vt:lpstr>
      <vt:lpstr>RII_Zopf</vt:lpstr>
      <vt:lpstr>RIII_Sack</vt:lpstr>
      <vt:lpstr>RIII_Wegge</vt:lpstr>
      <vt:lpstr>RIII_Zopf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</cp:lastModifiedBy>
  <dcterms:created xsi:type="dcterms:W3CDTF">2015-06-05T18:19:34Z</dcterms:created>
  <dcterms:modified xsi:type="dcterms:W3CDTF">2023-08-27T17:03:57Z</dcterms:modified>
</cp:coreProperties>
</file>